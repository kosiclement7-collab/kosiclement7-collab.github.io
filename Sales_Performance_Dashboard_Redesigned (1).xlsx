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" sheetId="1" r:id="rId4"/>
    <sheet state="visible" name="Analysis " sheetId="2" r:id="rId5"/>
    <sheet state="visible" name="Dashboard " sheetId="3" r:id="rId6"/>
    <sheet state="visible" name="Insights" sheetId="4" r:id="rId7"/>
  </sheets>
  <definedNames/>
  <calcPr/>
</workbook>
</file>

<file path=xl/sharedStrings.xml><?xml version="1.0" encoding="utf-8"?>
<sst xmlns="http://schemas.openxmlformats.org/spreadsheetml/2006/main" count="175" uniqueCount="71">
  <si>
    <t>Order_ID</t>
  </si>
  <si>
    <t>Date</t>
  </si>
  <si>
    <t>Product</t>
  </si>
  <si>
    <t>Category</t>
  </si>
  <si>
    <t>Region</t>
  </si>
  <si>
    <t>Salesperson</t>
  </si>
  <si>
    <t>Quantity</t>
  </si>
  <si>
    <t>Unit_Price</t>
  </si>
  <si>
    <t>Total_Sales</t>
  </si>
  <si>
    <t>ORD001</t>
  </si>
  <si>
    <t>Laptop</t>
  </si>
  <si>
    <t>Electronics</t>
  </si>
  <si>
    <t>Lagos</t>
  </si>
  <si>
    <t>Chukwu</t>
  </si>
  <si>
    <t>ORD002</t>
  </si>
  <si>
    <t>Mouse</t>
  </si>
  <si>
    <t>Ogun</t>
  </si>
  <si>
    <t>Ada</t>
  </si>
  <si>
    <t>ORD003</t>
  </si>
  <si>
    <t>Office Chair</t>
  </si>
  <si>
    <t>Furniture</t>
  </si>
  <si>
    <t>Abuja</t>
  </si>
  <si>
    <t>David</t>
  </si>
  <si>
    <t>ORD004</t>
  </si>
  <si>
    <t>Keyboard</t>
  </si>
  <si>
    <t>ORD005</t>
  </si>
  <si>
    <t>Desk</t>
  </si>
  <si>
    <t>ORD006</t>
  </si>
  <si>
    <t>Monitor</t>
  </si>
  <si>
    <t>ORD007</t>
  </si>
  <si>
    <t>Printer</t>
  </si>
  <si>
    <t>ORD008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</si>
  <si>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</si>
  <si>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</si>
  <si>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</si>
  <si>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</si>
  <si>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</si>
  <si>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</si>
  <si>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</si>
  <si>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</si>
  <si>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</si>
  <si>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</si>
  <si>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</si>
  <si>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</si>
  <si>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Sales Analysis</t>
  </si>
  <si>
    <t>Total Revenue</t>
  </si>
  <si>
    <t>Total Quantity Sold</t>
  </si>
  <si>
    <t>Average Order Value</t>
  </si>
  <si>
    <t>Number of Orders</t>
  </si>
  <si>
    <t xml:space="preserve">Total Sales </t>
  </si>
  <si>
    <t>Total Sales</t>
  </si>
  <si>
    <t>Sales</t>
  </si>
  <si>
    <t>Contribution</t>
  </si>
  <si>
    <t>Month</t>
  </si>
  <si>
    <t>January</t>
  </si>
  <si>
    <t>February</t>
  </si>
  <si>
    <t>SALES PERFORMANCE DASHBOARD</t>
  </si>
  <si>
    <t>Executive view of revenue, volume, product mix and regional performance</t>
  </si>
  <si>
    <t>Total Quantity</t>
  </si>
  <si>
    <t>Total Orders</t>
  </si>
  <si>
    <t>TOP 5 PRODUCTS</t>
  </si>
  <si>
    <t>SALES BY REGION</t>
  </si>
  <si>
    <t>SALES BY SALESPERSON</t>
  </si>
  <si>
    <t>SALES BY CATEGORY</t>
  </si>
  <si>
    <t>MONTHLY SALES TREND</t>
  </si>
  <si>
    <t xml:space="preserve">           KEY BUSINESS INSIGHTS</t>
  </si>
  <si>
    <t>1. Laptop generated the highest product revenue at ₦3.6 million.</t>
  </si>
  <si>
    <t>2. Abuja generated the highest regional sales at approximately ₦4.16 million.</t>
  </si>
  <si>
    <t>3. David was the highest-performing salesperson based on total sales.</t>
  </si>
  <si>
    <t>4. Electronics generated the majority of revenue compared with Furniture.</t>
  </si>
  <si>
    <t>5. The business generated ₦9.783 million in revenue from 20 orders.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</si>
</sst>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₦#,##0"/>
  </numFmts>
  <fonts count="14">
    <font>
      <sz val="10.0"/>
      <color rgb="FF000000"/>
      <name val="Arial"/>
      <scheme val="minor"/>
    </font>
    <font>
      <b/>
      <name val="Arial"/>
    </font>
    <font>
      <sz val="10.0"/>
      <color rgb="FF000000"/>
      <name val="Arial"/>
    </font>
    <font>
      <name val="Arial"/>
    </font>
    <font>
      <sz val="10.0"/>
      <color rgb="FF172033"/>
      <name val="Aptos"/>
    </font>
    <font>
      <b/>
      <sz val="20.0"/>
      <color rgb="FFFFFFFF"/>
      <name val="Play"/>
    </font>
    <font>
      <sz val="10.0"/>
      <color rgb="FFDCE7F2"/>
      <name val="Aptos"/>
    </font>
    <font>
      <b/>
      <sz val="10.0"/>
      <color rgb="FF64748B"/>
      <name val="Aptos"/>
    </font>
    <font/>
    <font>
      <b/>
      <sz val="18.0"/>
      <color rgb="FF17324D"/>
      <name val="Play"/>
    </font>
    <font>
      <b/>
      <sz val="11.0"/>
      <color rgb="FF17324D"/>
      <name val="Aptos"/>
    </font>
    <font>
      <b/>
      <i/>
      <sz val="16.0"/>
      <name val="Arial"/>
    </font>
    <font>
      <sz val="11.0"/>
      <name val="Arial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7324D"/>
        <bgColor rgb="FF17324D"/>
      </patternFill>
    </fill>
    <fill>
      <patternFill patternType="solid">
        <fgColor rgb="FF0F766E"/>
        <bgColor rgb="FF0F766E"/>
      </patternFill>
    </fill>
    <fill>
      <patternFill patternType="solid">
        <fgColor rgb="FFF4F7FA"/>
        <bgColor rgb="FFF4F7FA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D9E2EC"/>
      </left>
      <top style="thin">
        <color rgb="FFD9E2EC"/>
      </top>
      <bottom style="thin">
        <color rgb="FFD9E2EC"/>
      </bottom>
    </border>
    <border>
      <top style="thin">
        <color rgb="FFD9E2EC"/>
      </top>
      <bottom style="thin">
        <color rgb="FFD9E2EC"/>
      </bottom>
    </border>
    <border>
      <right style="thin">
        <color rgb="FFD9E2EC"/>
      </right>
      <top style="thin">
        <color rgb="FFD9E2EC"/>
      </top>
      <bottom style="thin">
        <color rgb="FFD9E2EC"/>
      </bottom>
    </border>
    <border>
      <left style="thin">
        <color rgb="FFD9E2EC"/>
      </left>
      <top style="thin">
        <color rgb="FFD9E2EC"/>
      </top>
    </border>
    <border>
      <top style="thin">
        <color rgb="FFD9E2EC"/>
      </top>
    </border>
    <border>
      <right style="thin">
        <color rgb="FFD9E2EC"/>
      </right>
      <top style="thin">
        <color rgb="FFD9E2EC"/>
      </top>
    </border>
    <border>
      <left style="thin">
        <color rgb="FFD9E2EC"/>
      </left>
      <bottom style="thin">
        <color rgb="FFD9E2EC"/>
      </bottom>
    </border>
    <border>
      <bottom style="thin">
        <color rgb="FFD9E2EC"/>
      </bottom>
    </border>
    <border>
      <right style="thin">
        <color rgb="FFD9E2EC"/>
      </right>
      <bottom style="thin">
        <color rgb="FFD9E2EC"/>
      </bottom>
    </border>
    <border>
      <bottom style="medium">
        <color rgb="FF0F766E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0" fontId="1" numFmtId="164" xfId="0" applyBorder="1" applyFont="1" applyNumberFormat="1"/>
    <xf borderId="0" fillId="0" fontId="1" numFmtId="0" xfId="0" applyFont="1"/>
    <xf borderId="0" fillId="0" fontId="1" numFmtId="0" xfId="0" applyAlignment="1" applyFont="1">
      <alignment horizontal="center"/>
    </xf>
    <xf borderId="2" fillId="0" fontId="1" numFmtId="0" xfId="0" applyBorder="1" applyFont="1"/>
    <xf borderId="1" fillId="0" fontId="1" numFmtId="0" xfId="0" applyAlignment="1" applyBorder="1" applyFont="1">
      <alignment horizontal="right"/>
    </xf>
    <xf borderId="3" fillId="0" fontId="1" numFmtId="0" xfId="0" applyBorder="1" applyFont="1"/>
    <xf borderId="1" fillId="0" fontId="1" numFmtId="3" xfId="0" applyBorder="1" applyFont="1" applyNumberFormat="1"/>
    <xf borderId="1" fillId="0" fontId="1" numFmtId="10" xfId="0" applyBorder="1" applyFont="1" applyNumberFormat="1"/>
    <xf borderId="0" fillId="0" fontId="2" numFmtId="0" xfId="0" applyFont="1"/>
    <xf borderId="0" fillId="0" fontId="1" numFmtId="3" xfId="0" applyFont="1" applyNumberFormat="1"/>
    <xf borderId="0" fillId="0" fontId="1" numFmtId="10" xfId="0" applyFont="1" applyNumberFormat="1"/>
    <xf borderId="0" fillId="0" fontId="3" numFmtId="10" xfId="0" applyFont="1" applyNumberFormat="1"/>
    <xf borderId="0" fillId="2" fontId="4" numFmtId="0" xfId="0" applyAlignment="1" applyFill="1" applyFont="1">
      <alignment vertical="center"/>
    </xf>
    <xf borderId="0" fillId="3" fontId="5" numFmtId="0" xfId="0" applyAlignment="1" applyFill="1" applyFont="1">
      <alignment horizontal="left" vertical="center"/>
    </xf>
    <xf borderId="0" fillId="3" fontId="6" numFmtId="0" xfId="0" applyAlignment="1" applyFont="1">
      <alignment horizontal="left" vertical="center"/>
    </xf>
    <xf borderId="4" fillId="4" fontId="7" numFmtId="0" xfId="0" applyAlignment="1" applyBorder="1" applyFill="1" applyFont="1">
      <alignment horizontal="left" vertical="center"/>
    </xf>
    <xf borderId="5" fillId="0" fontId="8" numFmtId="0" xfId="0" applyBorder="1" applyFont="1"/>
    <xf borderId="6" fillId="0" fontId="8" numFmtId="0" xfId="0" applyBorder="1" applyFont="1"/>
    <xf borderId="7" fillId="5" fontId="9" numFmtId="165" xfId="0" applyAlignment="1" applyBorder="1" applyFill="1" applyFont="1" applyNumberFormat="1">
      <alignment horizontal="left" vertical="center"/>
    </xf>
    <xf borderId="8" fillId="0" fontId="8" numFmtId="0" xfId="0" applyBorder="1" applyFont="1"/>
    <xf borderId="9" fillId="0" fontId="8" numFmtId="0" xfId="0" applyBorder="1" applyFont="1"/>
    <xf borderId="7" fillId="5" fontId="9" numFmtId="3" xfId="0" applyAlignment="1" applyBorder="1" applyFont="1" applyNumberFormat="1">
      <alignment horizontal="left" vertical="center"/>
    </xf>
    <xf borderId="10" fillId="0" fontId="8" numFmtId="0" xfId="0" applyBorder="1" applyFont="1"/>
    <xf borderId="11" fillId="0" fontId="8" numFmtId="0" xfId="0" applyBorder="1" applyFont="1"/>
    <xf borderId="12" fillId="0" fontId="8" numFmtId="0" xfId="0" applyBorder="1" applyFont="1"/>
    <xf borderId="13" fillId="5" fontId="10" numFmtId="0" xfId="0" applyAlignment="1" applyBorder="1" applyFont="1">
      <alignment horizontal="left" vertical="center"/>
    </xf>
    <xf borderId="13" fillId="0" fontId="8" numFmtId="0" xfId="0" applyBorder="1" applyFont="1"/>
    <xf borderId="0" fillId="0" fontId="11" numFmtId="0" xfId="0" applyAlignment="1" applyFont="1">
      <alignment readingOrder="0" vertical="bottom"/>
    </xf>
    <xf borderId="0" fillId="0" fontId="12" numFmtId="0" xfId="0" applyAlignment="1" applyFont="1">
      <alignment vertical="bottom"/>
    </xf>
    <xf borderId="0" fillId="0" fontId="13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Top 5 Products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'Analysis '!$E$13</c:f>
            </c:strRef>
          </c:tx>
          <c:spPr>
            <a:solidFill>
              <a:srgbClr val="4285F4"/>
            </a:solidFill>
            <a:ln cmpd="sng">
              <a:noFill/>
            </a:ln>
          </c:spPr>
          <c:cat>
            <c:strRef>
              <c:f>'Analysis '!$D$14:$D$18</c:f>
            </c:strRef>
          </c:cat>
          <c:val>
            <c:numRef>
              <c:f>'Analysis '!$E$14:$E$18</c:f>
              <c:numCache/>
            </c:numRef>
          </c:val>
        </c:ser>
        <c:axId val="1809399594"/>
        <c:axId val="1037766857"/>
      </c:barChart>
      <c:catAx>
        <c:axId val="180939959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Sales (₦)</a:t>
                </a:r>
              </a:p>
            </c:rich>
          </c:tx>
          <c:overlay val="0"/>
        </c:title>
        <c:numFmt formatCode="₦#,##0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37766857"/>
      </c:catAx>
      <c:valAx>
        <c:axId val="10377668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09399594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Sales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'Analysis '!$E$8</c:f>
            </c:strRef>
          </c:tx>
          <c:spPr>
            <a:solidFill>
              <a:srgbClr val="4285F4"/>
            </a:solidFill>
            <a:ln cmpd="sng">
              <a:noFill/>
            </a:ln>
          </c:spPr>
          <c:cat>
            <c:strRef>
              <c:f>'Analysis '!$D$9:$D$11</c:f>
            </c:strRef>
          </c:cat>
          <c:val>
            <c:numRef>
              <c:f>'Analysis '!$E$9:$E$11</c:f>
              <c:numCache/>
            </c:numRef>
          </c:val>
        </c:ser>
        <c:axId val="1531227830"/>
        <c:axId val="1706626547"/>
      </c:barChart>
      <c:catAx>
        <c:axId val="15312278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06626547"/>
      </c:catAx>
      <c:valAx>
        <c:axId val="17066265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Sales (₦)</a:t>
                </a:r>
              </a:p>
            </c:rich>
          </c:tx>
          <c:overlay val="0"/>
        </c:title>
        <c:numFmt formatCode="₦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31227830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Sales by Salesperson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'Analysis '!$H$8</c:f>
            </c:strRef>
          </c:tx>
          <c:spPr>
            <a:solidFill>
              <a:srgbClr val="4285F4"/>
            </a:solidFill>
            <a:ln cmpd="sng">
              <a:noFill/>
            </a:ln>
          </c:spPr>
          <c:cat>
            <c:strRef>
              <c:f>'Analysis '!$G$9:$G$11</c:f>
            </c:strRef>
          </c:cat>
          <c:val>
            <c:numRef>
              <c:f>'Analysis '!$H$9:$H$11</c:f>
              <c:numCache/>
            </c:numRef>
          </c:val>
        </c:ser>
        <c:axId val="627417324"/>
        <c:axId val="1966017597"/>
      </c:barChart>
      <c:catAx>
        <c:axId val="6274173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66017597"/>
      </c:catAx>
      <c:valAx>
        <c:axId val="196601759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Sales (₦)</a:t>
                </a:r>
              </a:p>
            </c:rich>
          </c:tx>
          <c:overlay val="0"/>
        </c:title>
        <c:numFmt formatCode="₦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27417324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Sales by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'Analysis '!$K$8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'Analysis '!$J$9:$J$10</c:f>
            </c:strRef>
          </c:cat>
          <c:val>
            <c:numRef>
              <c:f>'Analysis '!$K$9:$K$10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Monthly Sales Trend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'Analysis '!$B$18</c:f>
            </c:strRef>
          </c:tx>
          <c:spPr>
            <a:solidFill>
              <a:srgbClr val="4285F4"/>
            </a:solidFill>
            <a:ln cmpd="sng">
              <a:noFill/>
            </a:ln>
          </c:spPr>
          <c:cat>
            <c:strRef>
              <c:f>'Analysis '!$A$19:$A$20</c:f>
            </c:strRef>
          </c:cat>
          <c:val>
            <c:numRef>
              <c:f>'Analysis '!$B$19:$B$20</c:f>
              <c:numCache/>
            </c:numRef>
          </c:val>
        </c:ser>
        <c:axId val="1188688412"/>
        <c:axId val="178037290"/>
      </c:barChart>
      <c:catAx>
        <c:axId val="11886884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8037290"/>
      </c:catAx>
      <c:valAx>
        <c:axId val="17803729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Sales (₦)</a:t>
                </a:r>
              </a:p>
            </c:rich>
          </c:tx>
          <c:overlay val="0"/>
        </c:title>
        <c:numFmt formatCode="₦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88688412"/>
      </c:valAx>
    </c:plotArea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9</xdr:row>
      <xdr:rowOff>0</xdr:rowOff>
    </xdr:from>
    <xdr:ext cx="5391150" cy="25146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9</xdr:row>
      <xdr:rowOff>0</xdr:rowOff>
    </xdr:from>
    <xdr:ext cx="3952875" cy="25146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27</xdr:row>
      <xdr:rowOff>0</xdr:rowOff>
    </xdr:from>
    <xdr:ext cx="3952875" cy="25146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0</xdr:colOff>
      <xdr:row>27</xdr:row>
      <xdr:rowOff>0</xdr:rowOff>
    </xdr:from>
    <xdr:ext cx="3952875" cy="251460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304800</xdr:colOff>
      <xdr:row>46</xdr:row>
      <xdr:rowOff>0</xdr:rowOff>
    </xdr:from>
    <xdr:ext cx="5838825" cy="536257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7</xdr:col>
      <xdr:colOff>638175</xdr:colOff>
      <xdr:row>46</xdr:row>
      <xdr:rowOff>9525</xdr:rowOff>
    </xdr:from>
    <xdr:ext cx="4257675" cy="37147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ht="15.75" customHeight="1">
      <c r="A2" s="1" t="s">
        <v>9</v>
      </c>
      <c r="B2" s="3">
        <v>46025.0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2.0</v>
      </c>
      <c r="H2" s="1">
        <v>450000.0</v>
      </c>
      <c r="I2" s="1">
        <v>900000.0</v>
      </c>
    </row>
    <row r="3" ht="15.75" customHeight="1">
      <c r="A3" s="1" t="s">
        <v>14</v>
      </c>
      <c r="B3" s="3">
        <v>46026.0</v>
      </c>
      <c r="C3" s="1" t="s">
        <v>15</v>
      </c>
      <c r="D3" s="1" t="s">
        <v>11</v>
      </c>
      <c r="E3" s="1" t="s">
        <v>16</v>
      </c>
      <c r="F3" s="1" t="s">
        <v>17</v>
      </c>
      <c r="G3" s="1">
        <v>10.0</v>
      </c>
      <c r="H3" s="1">
        <v>12000.0</v>
      </c>
      <c r="I3" s="1">
        <v>120000.0</v>
      </c>
    </row>
    <row r="4" ht="15.75" customHeight="1">
      <c r="A4" s="1" t="s">
        <v>18</v>
      </c>
      <c r="B4" s="3">
        <v>46027.0</v>
      </c>
      <c r="C4" s="1" t="s">
        <v>19</v>
      </c>
      <c r="D4" s="1" t="s">
        <v>20</v>
      </c>
      <c r="E4" s="1" t="s">
        <v>21</v>
      </c>
      <c r="F4" s="1" t="s">
        <v>22</v>
      </c>
      <c r="G4" s="1">
        <v>4.0</v>
      </c>
      <c r="H4" s="1">
        <v>85000.0</v>
      </c>
      <c r="I4" s="1">
        <v>340000.0</v>
      </c>
    </row>
    <row r="5" ht="15.75" customHeight="1">
      <c r="A5" s="1" t="s">
        <v>23</v>
      </c>
      <c r="B5" s="3">
        <v>46029.0</v>
      </c>
      <c r="C5" s="1" t="s">
        <v>24</v>
      </c>
      <c r="D5" s="1" t="s">
        <v>11</v>
      </c>
      <c r="E5" s="1" t="s">
        <v>12</v>
      </c>
      <c r="F5" s="1" t="s">
        <v>13</v>
      </c>
      <c r="G5" s="1">
        <v>5.0</v>
      </c>
      <c r="H5" s="1">
        <v>18000.0</v>
      </c>
      <c r="I5" s="1">
        <v>90000.0</v>
      </c>
    </row>
    <row r="6" ht="15.75" customHeight="1">
      <c r="A6" s="1" t="s">
        <v>25</v>
      </c>
      <c r="B6" s="3">
        <v>46031.0</v>
      </c>
      <c r="C6" s="1" t="s">
        <v>26</v>
      </c>
      <c r="D6" s="1" t="s">
        <v>20</v>
      </c>
      <c r="E6" s="1" t="s">
        <v>16</v>
      </c>
      <c r="F6" s="1" t="s">
        <v>17</v>
      </c>
      <c r="G6" s="1">
        <v>3.0</v>
      </c>
      <c r="H6" s="1">
        <v>120000.0</v>
      </c>
      <c r="I6" s="1">
        <v>360000.0</v>
      </c>
    </row>
    <row r="7" ht="15.75" customHeight="1">
      <c r="A7" s="1" t="s">
        <v>27</v>
      </c>
      <c r="B7" s="3">
        <v>46033.0</v>
      </c>
      <c r="C7" s="1" t="s">
        <v>28</v>
      </c>
      <c r="D7" s="1" t="s">
        <v>11</v>
      </c>
      <c r="E7" s="1" t="s">
        <v>21</v>
      </c>
      <c r="F7" s="1" t="s">
        <v>22</v>
      </c>
      <c r="G7" s="1">
        <v>4.0</v>
      </c>
      <c r="H7" s="1">
        <v>150000.0</v>
      </c>
      <c r="I7" s="1">
        <v>600000.0</v>
      </c>
    </row>
    <row r="8" ht="15.75" customHeight="1">
      <c r="A8" s="1" t="s">
        <v>29</v>
      </c>
      <c r="B8" s="3">
        <v>46035.0</v>
      </c>
      <c r="C8" s="1" t="s">
        <v>30</v>
      </c>
      <c r="D8" s="1" t="s">
        <v>11</v>
      </c>
      <c r="E8" s="1" t="s">
        <v>12</v>
      </c>
      <c r="F8" s="1" t="s">
        <v>13</v>
      </c>
      <c r="G8" s="1">
        <v>2.0</v>
      </c>
      <c r="H8" s="1">
        <v>180000.0</v>
      </c>
      <c r="I8" s="1">
        <v>360000.0</v>
      </c>
    </row>
    <row r="9" ht="15.75" customHeight="1">
      <c r="A9" s="1" t="s">
        <v>31</v>
      </c>
      <c r="B9" s="3">
        <v>46037.0</v>
      </c>
      <c r="C9" s="1" t="s">
        <v>19</v>
      </c>
      <c r="D9" s="1" t="s">
        <v>20</v>
      </c>
      <c r="E9" s="1" t="s">
        <v>16</v>
      </c>
      <c r="F9" s="1" t="s">
        <v>17</v>
      </c>
      <c r="G9" s="1">
        <v>6.0</v>
      </c>
      <c r="H9" s="1">
        <v>85000.0</v>
      </c>
      <c r="I9" s="1">
        <v>510000.0</v>
      </c>
    </row>
    <row r="10" ht="15.75" customHeight="1">
      <c r="A10" s="1" t="s">
        <v>32</v>
      </c>
      <c r="B10" s="3">
        <v>46040.0</v>
      </c>
      <c r="C10" s="1" t="s">
        <v>10</v>
      </c>
      <c r="D10" s="1" t="s">
        <v>11</v>
      </c>
      <c r="E10" s="1" t="s">
        <v>21</v>
      </c>
      <c r="F10" s="1" t="s">
        <v>22</v>
      </c>
      <c r="G10" s="1">
        <v>3.0</v>
      </c>
      <c r="H10" s="1">
        <v>450000.0</v>
      </c>
      <c r="I10" s="1">
        <v>1350000.0</v>
      </c>
    </row>
    <row r="11" ht="15.75" customHeight="1">
      <c r="A11" s="1" t="s">
        <v>33</v>
      </c>
      <c r="B11" s="3">
        <v>46042.0</v>
      </c>
      <c r="C11" s="1" t="s">
        <v>26</v>
      </c>
      <c r="D11" s="1" t="s">
        <v>20</v>
      </c>
      <c r="E11" s="1" t="s">
        <v>12</v>
      </c>
      <c r="F11" s="1" t="s">
        <v>13</v>
      </c>
      <c r="G11" s="1">
        <v>2.0</v>
      </c>
      <c r="H11" s="1">
        <v>120000.0</v>
      </c>
      <c r="I11" s="1">
        <v>240000.0</v>
      </c>
    </row>
    <row r="12" ht="15.75" customHeight="1">
      <c r="A12" s="1" t="s">
        <v>34</v>
      </c>
      <c r="B12" s="3">
        <v>46044.0</v>
      </c>
      <c r="C12" s="1" t="s">
        <v>15</v>
      </c>
      <c r="D12" s="1" t="s">
        <v>11</v>
      </c>
      <c r="E12" s="1" t="s">
        <v>16</v>
      </c>
      <c r="F12" s="1" t="s">
        <v>17</v>
      </c>
      <c r="G12" s="1">
        <v>15.0</v>
      </c>
      <c r="H12" s="1">
        <v>12000.0</v>
      </c>
      <c r="I12" s="1">
        <v>180000.0</v>
      </c>
    </row>
    <row r="13" ht="15.75" customHeight="1">
      <c r="A13" s="1" t="s">
        <v>35</v>
      </c>
      <c r="B13" s="3">
        <v>46046.0</v>
      </c>
      <c r="C13" s="1" t="s">
        <v>28</v>
      </c>
      <c r="D13" s="1" t="s">
        <v>11</v>
      </c>
      <c r="E13" s="1" t="s">
        <v>12</v>
      </c>
      <c r="F13" s="1" t="s">
        <v>13</v>
      </c>
      <c r="G13" s="1">
        <v>5.0</v>
      </c>
      <c r="H13" s="1">
        <v>150000.0</v>
      </c>
      <c r="I13" s="1">
        <v>750000.0</v>
      </c>
    </row>
    <row r="14" ht="15.75" customHeight="1">
      <c r="A14" s="1" t="s">
        <v>36</v>
      </c>
      <c r="B14" s="3">
        <v>46048.0</v>
      </c>
      <c r="C14" s="1" t="s">
        <v>30</v>
      </c>
      <c r="D14" s="1" t="s">
        <v>11</v>
      </c>
      <c r="E14" s="1" t="s">
        <v>21</v>
      </c>
      <c r="F14" s="1" t="s">
        <v>22</v>
      </c>
      <c r="G14" s="1">
        <v>3.0</v>
      </c>
      <c r="H14" s="1">
        <v>180000.0</v>
      </c>
      <c r="I14" s="1">
        <v>540000.0</v>
      </c>
    </row>
    <row r="15" ht="15.75" customHeight="1">
      <c r="A15" s="1" t="s">
        <v>37</v>
      </c>
      <c r="B15" s="3">
        <v>46050.0</v>
      </c>
      <c r="C15" s="1" t="s">
        <v>24</v>
      </c>
      <c r="D15" s="1" t="s">
        <v>11</v>
      </c>
      <c r="E15" s="1" t="s">
        <v>16</v>
      </c>
      <c r="F15" s="1" t="s">
        <v>17</v>
      </c>
      <c r="G15" s="1">
        <v>8.0</v>
      </c>
      <c r="H15" s="1">
        <v>18000.0</v>
      </c>
      <c r="I15" s="1">
        <v>144000.0</v>
      </c>
    </row>
    <row r="16" ht="15.75" customHeight="1">
      <c r="A16" s="1" t="s">
        <v>38</v>
      </c>
      <c r="B16" s="3">
        <v>46052.0</v>
      </c>
      <c r="C16" s="1" t="s">
        <v>10</v>
      </c>
      <c r="D16" s="1" t="s">
        <v>11</v>
      </c>
      <c r="E16" s="1" t="s">
        <v>12</v>
      </c>
      <c r="F16" s="1" t="s">
        <v>13</v>
      </c>
      <c r="G16" s="1">
        <v>1.0</v>
      </c>
      <c r="H16" s="1">
        <v>450000.0</v>
      </c>
      <c r="I16" s="1">
        <v>450000.0</v>
      </c>
    </row>
    <row r="17" ht="15.75" customHeight="1">
      <c r="A17" s="1" t="s">
        <v>39</v>
      </c>
      <c r="B17" s="3">
        <v>46055.0</v>
      </c>
      <c r="C17" s="1" t="s">
        <v>26</v>
      </c>
      <c r="D17" s="1" t="s">
        <v>20</v>
      </c>
      <c r="E17" s="1" t="s">
        <v>21</v>
      </c>
      <c r="F17" s="1" t="s">
        <v>22</v>
      </c>
      <c r="G17" s="1">
        <v>4.0</v>
      </c>
      <c r="H17" s="1">
        <v>120000.0</v>
      </c>
      <c r="I17" s="1">
        <v>480000.0</v>
      </c>
    </row>
    <row r="18" ht="15.75" customHeight="1">
      <c r="A18" s="1" t="s">
        <v>40</v>
      </c>
      <c r="B18" s="3">
        <v>46057.0</v>
      </c>
      <c r="C18" s="1" t="s">
        <v>15</v>
      </c>
      <c r="D18" s="1" t="s">
        <v>11</v>
      </c>
      <c r="E18" s="1" t="s">
        <v>12</v>
      </c>
      <c r="F18" s="1" t="s">
        <v>13</v>
      </c>
      <c r="G18" s="1">
        <v>12.0</v>
      </c>
      <c r="H18" s="1">
        <v>12000.0</v>
      </c>
      <c r="I18" s="1">
        <v>144000.0</v>
      </c>
    </row>
    <row r="19" ht="15.75" customHeight="1">
      <c r="A19" s="1" t="s">
        <v>41</v>
      </c>
      <c r="B19" s="3">
        <v>46059.0</v>
      </c>
      <c r="C19" s="1" t="s">
        <v>19</v>
      </c>
      <c r="D19" s="1" t="s">
        <v>20</v>
      </c>
      <c r="E19" s="1" t="s">
        <v>16</v>
      </c>
      <c r="F19" s="1" t="s">
        <v>17</v>
      </c>
      <c r="G19" s="1">
        <v>5.0</v>
      </c>
      <c r="H19" s="1">
        <v>85000.0</v>
      </c>
      <c r="I19" s="1">
        <v>425000.0</v>
      </c>
    </row>
    <row r="20" ht="15.75" customHeight="1">
      <c r="A20" s="1" t="s">
        <v>42</v>
      </c>
      <c r="B20" s="3">
        <v>46061.0</v>
      </c>
      <c r="C20" s="1" t="s">
        <v>28</v>
      </c>
      <c r="D20" s="1" t="s">
        <v>11</v>
      </c>
      <c r="E20" s="1" t="s">
        <v>21</v>
      </c>
      <c r="F20" s="1" t="s">
        <v>22</v>
      </c>
      <c r="G20" s="1">
        <v>6.0</v>
      </c>
      <c r="H20" s="1">
        <v>150000.0</v>
      </c>
      <c r="I20" s="1">
        <v>900000.0</v>
      </c>
    </row>
    <row r="21" ht="15.75" customHeight="1">
      <c r="A21" s="1" t="s">
        <v>43</v>
      </c>
      <c r="B21" s="3">
        <v>46063.0</v>
      </c>
      <c r="C21" s="1" t="s">
        <v>10</v>
      </c>
      <c r="D21" s="1" t="s">
        <v>11</v>
      </c>
      <c r="E21" s="1" t="s">
        <v>12</v>
      </c>
      <c r="F21" s="1" t="s">
        <v>13</v>
      </c>
      <c r="G21" s="1">
        <v>2.0</v>
      </c>
      <c r="H21" s="1">
        <v>450000.0</v>
      </c>
      <c r="I21" s="1">
        <v>900000.0</v>
      </c>
    </row>
    <row r="22" ht="15.75" customHeight="1"/>
    <row r="23" ht="15.75" customHeight="1">
      <c r="A23" s="4"/>
      <c r="B23" s="5"/>
    </row>
    <row r="24" ht="15.75" customHeight="1">
      <c r="A24" s="4"/>
      <c r="B24" s="4"/>
    </row>
    <row r="25" ht="15.75" customHeight="1">
      <c r="A25" s="4"/>
      <c r="B25" s="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6" width="12.63"/>
    <col customWidth="1" min="7" max="7" width="14.13"/>
  </cols>
  <sheetData>
    <row r="1" ht="15.75" customHeight="1">
      <c r="A1" s="1" t="s">
        <v>44</v>
      </c>
      <c r="B1" s="1"/>
      <c r="C1" s="6"/>
      <c r="D1" s="4"/>
      <c r="E1" s="4"/>
      <c r="F1" s="4"/>
      <c r="G1" s="4"/>
      <c r="H1" s="4"/>
      <c r="I1" s="4"/>
      <c r="J1" s="4"/>
      <c r="K1" s="4"/>
    </row>
    <row r="2" ht="15.75" customHeight="1">
      <c r="A2" s="1"/>
      <c r="B2" s="1"/>
      <c r="C2" s="4"/>
      <c r="D2" s="4"/>
      <c r="E2" s="4"/>
      <c r="F2" s="4"/>
      <c r="G2" s="4"/>
      <c r="H2" s="4"/>
      <c r="I2" s="4"/>
      <c r="J2" s="4"/>
      <c r="K2" s="4"/>
    </row>
    <row r="3" ht="15.75" customHeight="1">
      <c r="A3" s="1" t="s">
        <v>45</v>
      </c>
      <c r="B3" s="1" t="str">
        <f>SUM(Sales!I2:I21)</f>
        <v>9783000</v>
      </c>
      <c r="C3" s="4"/>
      <c r="D3" s="4"/>
      <c r="E3" s="4"/>
      <c r="F3" s="4"/>
      <c r="G3" s="4"/>
      <c r="H3" s="4"/>
      <c r="I3" s="4"/>
      <c r="J3" s="4"/>
      <c r="K3" s="4"/>
    </row>
    <row r="4" ht="15.75" customHeight="1">
      <c r="A4" s="1" t="s">
        <v>46</v>
      </c>
      <c r="B4" s="1" t="str">
        <f>SUM(Sales!G2:G21)</f>
        <v>102</v>
      </c>
      <c r="C4" s="4"/>
      <c r="D4" s="4"/>
      <c r="E4" s="4"/>
      <c r="F4" s="4"/>
      <c r="G4" s="4"/>
      <c r="H4" s="4"/>
      <c r="I4" s="4"/>
      <c r="J4" s="4"/>
      <c r="K4" s="4"/>
    </row>
    <row r="5" ht="15.75" customHeight="1">
      <c r="A5" s="1" t="s">
        <v>47</v>
      </c>
      <c r="B5" s="1" t="str">
        <f>AVERAGE(Sales!I2:I21)</f>
        <v>489150</v>
      </c>
      <c r="C5" s="4"/>
      <c r="D5" s="4"/>
      <c r="E5" s="4"/>
      <c r="F5" s="4"/>
      <c r="G5" s="4"/>
      <c r="H5" s="4"/>
      <c r="I5" s="4"/>
      <c r="J5" s="4"/>
      <c r="K5" s="4"/>
    </row>
    <row r="6" ht="15.75" customHeight="1">
      <c r="A6" s="1" t="s">
        <v>48</v>
      </c>
      <c r="B6" s="1" t="str">
        <f>COUNTA(Sales!A2:A21)</f>
        <v>20</v>
      </c>
      <c r="C6" s="4"/>
      <c r="D6" s="4"/>
      <c r="E6" s="4"/>
      <c r="F6" s="4"/>
      <c r="G6" s="4"/>
      <c r="H6" s="4"/>
      <c r="I6" s="4"/>
      <c r="J6" s="4"/>
      <c r="K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ht="15.75" customHeight="1">
      <c r="A8" s="1" t="s">
        <v>2</v>
      </c>
      <c r="B8" s="7" t="s">
        <v>49</v>
      </c>
      <c r="C8" s="4"/>
      <c r="D8" s="1" t="s">
        <v>4</v>
      </c>
      <c r="E8" s="2" t="s">
        <v>49</v>
      </c>
      <c r="F8" s="4"/>
      <c r="G8" s="1" t="s">
        <v>5</v>
      </c>
      <c r="H8" s="2" t="s">
        <v>50</v>
      </c>
      <c r="I8" s="4"/>
      <c r="J8" s="1" t="s">
        <v>3</v>
      </c>
      <c r="K8" s="2" t="s">
        <v>50</v>
      </c>
    </row>
    <row r="9" ht="15.75" customHeight="1">
      <c r="A9" s="1" t="s">
        <v>10</v>
      </c>
      <c r="B9" s="1" t="str">
        <f>SUMIF(Sales!C2:C21,A9,Sales!I2:I21)</f>
        <v>3600000</v>
      </c>
      <c r="C9" s="4"/>
      <c r="D9" s="1" t="s">
        <v>12</v>
      </c>
      <c r="E9" s="1" t="str">
        <f>SUMIF(Sales!E2:E21,D9,Sales!I2:I21)</f>
        <v>3834000</v>
      </c>
      <c r="F9" s="4"/>
      <c r="G9" s="1" t="s">
        <v>13</v>
      </c>
      <c r="H9" s="1" t="str">
        <f>SUMIF(Sales!F2:F21,G9,Sales!I2:I21)</f>
        <v>3834000</v>
      </c>
      <c r="I9" s="4"/>
      <c r="J9" s="1" t="s">
        <v>11</v>
      </c>
      <c r="K9" s="1" t="str">
        <f>SUMIF(Sales!D2:D21,J9,Sales!I2:I21)</f>
        <v>7428000</v>
      </c>
    </row>
    <row r="10" ht="15.75" customHeight="1">
      <c r="A10" s="1" t="s">
        <v>15</v>
      </c>
      <c r="B10" s="1" t="str">
        <f>SUMIF(Sales!C3:C22,A10,Sales!I3:I22)</f>
        <v>444000</v>
      </c>
      <c r="C10" s="4"/>
      <c r="D10" s="1" t="s">
        <v>16</v>
      </c>
      <c r="E10" s="1" t="str">
        <f>SUMIF(Sales!E3:E22,D10,Sales!I3:I22)</f>
        <v>1739000</v>
      </c>
      <c r="F10" s="4"/>
      <c r="G10" s="1" t="s">
        <v>17</v>
      </c>
      <c r="H10" s="1" t="str">
        <f>SUMIF(Sales!F3:F22,G10,Sales!I3:I22)</f>
        <v>1739000</v>
      </c>
      <c r="I10" s="4"/>
      <c r="J10" s="1" t="s">
        <v>20</v>
      </c>
      <c r="K10" s="1" t="str">
        <f>SUMIF(Sales!D3:D22,J10,Sales!I3:I22)</f>
        <v>2355000</v>
      </c>
    </row>
    <row r="11" ht="15.75" customHeight="1">
      <c r="A11" s="1" t="s">
        <v>19</v>
      </c>
      <c r="B11" s="1" t="str">
        <f>SUMIF(Sales!C4:C23,A11,Sales!I4:I23)</f>
        <v>1275000</v>
      </c>
      <c r="C11" s="8"/>
      <c r="D11" s="1" t="s">
        <v>21</v>
      </c>
      <c r="E11" s="1" t="str">
        <f>SUMIF(Sales!E4:E23,D11,Sales!I4:I23)</f>
        <v>4210000</v>
      </c>
      <c r="F11" s="4"/>
      <c r="G11" s="1" t="s">
        <v>22</v>
      </c>
      <c r="H11" s="1" t="str">
        <f>SUMIF(Sales!F4:F23,G11,Sales!I4:I23)</f>
        <v>4210000</v>
      </c>
      <c r="I11" s="4"/>
      <c r="J11" s="4"/>
      <c r="K11" s="4"/>
    </row>
    <row r="12" ht="15.75" customHeight="1">
      <c r="A12" s="1" t="s">
        <v>24</v>
      </c>
      <c r="B12" s="1" t="str">
        <f>SUMIF(Sales!C5:C24,A12,Sales!I5:I24)</f>
        <v>234000</v>
      </c>
      <c r="C12" s="4"/>
      <c r="D12" s="4"/>
      <c r="E12" s="4"/>
      <c r="F12" s="4"/>
      <c r="G12" s="4"/>
      <c r="H12" s="4"/>
      <c r="I12" s="4"/>
      <c r="J12" s="4"/>
      <c r="K12" s="4"/>
    </row>
    <row r="13" ht="15.75" customHeight="1">
      <c r="A13" s="1" t="s">
        <v>26</v>
      </c>
      <c r="B13" s="1" t="str">
        <f>SUMIF(Sales!C6:C25,A13,Sales!I6:I25)</f>
        <v>1080000</v>
      </c>
      <c r="C13" s="4"/>
      <c r="D13" s="1" t="s">
        <v>2</v>
      </c>
      <c r="E13" s="2" t="s">
        <v>50</v>
      </c>
      <c r="F13" s="4"/>
      <c r="G13" s="1" t="s">
        <v>2</v>
      </c>
      <c r="H13" s="1" t="s">
        <v>51</v>
      </c>
      <c r="I13" s="1" t="s">
        <v>52</v>
      </c>
      <c r="J13" s="4"/>
      <c r="K13" s="4"/>
    </row>
    <row r="14" ht="15.75" customHeight="1">
      <c r="A14" s="1" t="s">
        <v>28</v>
      </c>
      <c r="B14" s="1" t="str">
        <f>SUMIF(Sales!C7:C26,A14,Sales!I7:I26)</f>
        <v>2250000</v>
      </c>
      <c r="C14" s="4"/>
      <c r="D14" s="1" t="s">
        <v>10</v>
      </c>
      <c r="E14" s="9">
        <v>3600000.0</v>
      </c>
      <c r="F14" s="4"/>
      <c r="G14" s="1" t="s">
        <v>10</v>
      </c>
      <c r="H14" s="9">
        <v>3600000.0</v>
      </c>
      <c r="I14" s="10">
        <v>0.368</v>
      </c>
      <c r="J14" s="4"/>
      <c r="K14" s="4"/>
    </row>
    <row r="15" ht="15.75" customHeight="1">
      <c r="A15" s="1" t="s">
        <v>30</v>
      </c>
      <c r="B15" s="1" t="str">
        <f>SUMIF(Sales!C8:C27,A15,Sales!I8:I27)</f>
        <v>900000</v>
      </c>
      <c r="C15" s="4"/>
      <c r="D15" s="1" t="s">
        <v>28</v>
      </c>
      <c r="E15" s="9">
        <v>2250000.0</v>
      </c>
      <c r="F15" s="4"/>
      <c r="G15" s="1" t="s">
        <v>28</v>
      </c>
      <c r="H15" s="9">
        <v>2250000.0</v>
      </c>
      <c r="I15" s="10">
        <v>0.23</v>
      </c>
    </row>
    <row r="16" ht="15.75" customHeight="1">
      <c r="A16" s="11"/>
      <c r="D16" s="1" t="s">
        <v>19</v>
      </c>
      <c r="E16" s="9">
        <v>1275000.0</v>
      </c>
      <c r="G16" s="1" t="s">
        <v>19</v>
      </c>
      <c r="H16" s="9">
        <v>1275000.0</v>
      </c>
      <c r="I16" s="10">
        <v>0.13</v>
      </c>
    </row>
    <row r="17" ht="15.75" customHeight="1">
      <c r="A17" s="11"/>
      <c r="D17" s="1" t="s">
        <v>26</v>
      </c>
      <c r="E17" s="9">
        <v>1080000.0</v>
      </c>
      <c r="G17" s="1" t="s">
        <v>26</v>
      </c>
      <c r="H17" s="9">
        <v>1080000.0</v>
      </c>
      <c r="I17" s="10">
        <v>0.11</v>
      </c>
    </row>
    <row r="18" ht="15.75" customHeight="1">
      <c r="A18" s="1" t="s">
        <v>53</v>
      </c>
      <c r="B18" s="7" t="s">
        <v>50</v>
      </c>
      <c r="D18" s="1" t="s">
        <v>30</v>
      </c>
      <c r="E18" s="9">
        <v>900000.0</v>
      </c>
      <c r="G18" s="1" t="s">
        <v>30</v>
      </c>
      <c r="H18" s="9">
        <v>900000.0</v>
      </c>
      <c r="I18" s="10">
        <v>0.092</v>
      </c>
    </row>
    <row r="19" ht="15.75" customHeight="1">
      <c r="A19" s="1" t="s">
        <v>54</v>
      </c>
      <c r="B19" s="1">
        <v>6934000.0</v>
      </c>
      <c r="D19" s="4"/>
      <c r="E19" s="12"/>
      <c r="G19" s="1" t="s">
        <v>15</v>
      </c>
      <c r="H19" s="9">
        <v>444000.0</v>
      </c>
      <c r="I19" s="10">
        <v>0.045</v>
      </c>
    </row>
    <row r="20" ht="15.75" customHeight="1">
      <c r="A20" s="1" t="s">
        <v>55</v>
      </c>
      <c r="B20" s="1">
        <v>2849000.0</v>
      </c>
      <c r="D20" s="4"/>
      <c r="E20" s="12"/>
      <c r="G20" s="1" t="s">
        <v>24</v>
      </c>
      <c r="H20" s="9">
        <v>234000.0</v>
      </c>
      <c r="I20" s="10">
        <v>0.024</v>
      </c>
    </row>
    <row r="21" ht="15.75" customHeight="1">
      <c r="A21" s="11"/>
      <c r="D21" s="4"/>
      <c r="E21" s="12"/>
      <c r="G21" s="4"/>
      <c r="H21" s="12"/>
      <c r="I21" s="13"/>
    </row>
    <row r="22" ht="15.75" customHeight="1">
      <c r="A22" s="11"/>
      <c r="D22" s="4"/>
      <c r="E22" s="12"/>
      <c r="G22" s="4"/>
      <c r="H22" s="12"/>
      <c r="I22" s="13"/>
    </row>
    <row r="23" ht="15.75" customHeight="1">
      <c r="A23" s="11"/>
      <c r="D23" s="4"/>
      <c r="E23" s="12"/>
      <c r="G23" s="4"/>
      <c r="H23" s="12"/>
      <c r="I23" s="13"/>
    </row>
    <row r="24" ht="15.75" customHeight="1">
      <c r="A24" s="11"/>
      <c r="G24" s="4"/>
      <c r="H24" s="12"/>
      <c r="I24" s="13"/>
    </row>
    <row r="25" ht="15.75" customHeight="1">
      <c r="A25" s="11"/>
      <c r="G25" s="4"/>
      <c r="H25" s="12"/>
      <c r="I25" s="13"/>
    </row>
    <row r="26" ht="15.75" customHeight="1">
      <c r="A26" s="11"/>
      <c r="G26" s="14"/>
    </row>
    <row r="27" ht="15.75" customHeight="1">
      <c r="A27" s="11"/>
      <c r="G27" s="11"/>
    </row>
    <row r="28" ht="15.75" customHeight="1">
      <c r="A28" s="11"/>
      <c r="G28" s="11"/>
    </row>
    <row r="29" ht="15.75" customHeight="1">
      <c r="A29" s="11"/>
      <c r="G29" s="14"/>
    </row>
    <row r="30" ht="15.75" customHeight="1">
      <c r="A30" s="11"/>
      <c r="G30" s="11"/>
    </row>
    <row r="31" ht="15.75" customHeight="1">
      <c r="A31" s="11"/>
      <c r="G31" s="11"/>
    </row>
    <row r="32" ht="15.75" customHeight="1">
      <c r="A32" s="11"/>
      <c r="G32" s="14"/>
    </row>
    <row r="33" ht="15.75" customHeight="1">
      <c r="A33" s="11"/>
      <c r="G33" s="11"/>
    </row>
    <row r="34" ht="15.75" customHeight="1">
      <c r="A34" s="11"/>
      <c r="G34" s="11"/>
    </row>
    <row r="35" ht="15.75" customHeight="1">
      <c r="A35" s="11"/>
      <c r="G35" s="14"/>
    </row>
    <row r="36" ht="15.75" customHeight="1">
      <c r="A36" s="11"/>
      <c r="G36" s="11"/>
    </row>
    <row r="37" ht="15.75" customHeight="1">
      <c r="A37" s="11"/>
      <c r="G37" s="11"/>
    </row>
    <row r="38" ht="15.75" customHeight="1">
      <c r="A38" s="11"/>
      <c r="G38" s="14"/>
    </row>
    <row r="39" ht="15.75" customHeight="1">
      <c r="A39" s="11"/>
      <c r="G39" s="11"/>
    </row>
    <row r="40" ht="15.75" customHeight="1">
      <c r="A40" s="11"/>
      <c r="G40" s="11"/>
    </row>
    <row r="41" ht="15.75" customHeight="1">
      <c r="A41" s="11"/>
      <c r="G41" s="14"/>
    </row>
    <row r="42" ht="15.75" customHeight="1">
      <c r="A42" s="11"/>
      <c r="G42" s="11"/>
    </row>
    <row r="43" ht="15.75" customHeight="1">
      <c r="A43" s="11"/>
      <c r="G43" s="11"/>
    </row>
    <row r="44" ht="15.75" customHeight="1">
      <c r="A44" s="11"/>
      <c r="G44" s="11"/>
    </row>
    <row r="45" ht="15.75" customHeight="1">
      <c r="A45" s="11"/>
      <c r="G45" s="11"/>
    </row>
    <row r="46" ht="15.75" customHeight="1">
      <c r="A46" s="11"/>
      <c r="G46" s="11"/>
    </row>
    <row r="47" ht="15.75" customHeight="1">
      <c r="A47" s="11"/>
      <c r="G47" s="11"/>
    </row>
    <row r="48" ht="15.75" customHeight="1">
      <c r="A48" s="11"/>
      <c r="G48" s="11"/>
    </row>
    <row r="49" ht="15.75" customHeight="1">
      <c r="A49" s="11"/>
      <c r="G49" s="11"/>
    </row>
    <row r="50" ht="15.75" customHeight="1">
      <c r="A50" s="11"/>
      <c r="G50" s="11"/>
    </row>
    <row r="51" ht="15.75" customHeight="1">
      <c r="A51" s="11"/>
      <c r="G51" s="11"/>
    </row>
    <row r="52" ht="15.75" customHeight="1">
      <c r="A52" s="11"/>
      <c r="G52" s="11"/>
    </row>
    <row r="53" ht="15.75" customHeight="1">
      <c r="A53" s="11"/>
      <c r="G53" s="11"/>
    </row>
    <row r="54" ht="15.75" customHeight="1">
      <c r="A54" s="11"/>
      <c r="G54" s="11"/>
    </row>
    <row r="55" ht="15.75" customHeight="1">
      <c r="A55" s="11"/>
      <c r="G55" s="11"/>
    </row>
    <row r="56" ht="15.75" customHeight="1">
      <c r="A56" s="11"/>
      <c r="G56" s="11"/>
    </row>
    <row r="57" ht="15.75" customHeight="1">
      <c r="A57" s="11"/>
      <c r="G57" s="11"/>
    </row>
    <row r="58" ht="15.75" customHeight="1">
      <c r="A58" s="11"/>
      <c r="G58" s="11"/>
    </row>
    <row r="59" ht="15.75" customHeight="1">
      <c r="A59" s="11"/>
      <c r="G59" s="11"/>
    </row>
    <row r="60" ht="15.75" customHeight="1">
      <c r="A60" s="11"/>
      <c r="G60" s="11"/>
    </row>
    <row r="61" ht="15.75" customHeight="1">
      <c r="A61" s="11"/>
      <c r="G61" s="11"/>
    </row>
    <row r="62" ht="15.75" customHeight="1">
      <c r="A62" s="11"/>
      <c r="G62" s="11"/>
    </row>
    <row r="63" ht="15.75" customHeight="1">
      <c r="A63" s="11"/>
      <c r="G63" s="11"/>
    </row>
    <row r="64" ht="15.75" customHeight="1">
      <c r="A64" s="11"/>
      <c r="G64" s="11"/>
    </row>
    <row r="65" ht="15.75" customHeight="1">
      <c r="A65" s="11"/>
      <c r="G65" s="11"/>
    </row>
    <row r="66" ht="15.75" customHeight="1">
      <c r="A66" s="11"/>
      <c r="G66" s="11"/>
    </row>
    <row r="67" ht="15.75" customHeight="1">
      <c r="A67" s="11"/>
      <c r="G67" s="11"/>
    </row>
    <row r="68" ht="15.75" customHeight="1">
      <c r="A68" s="11"/>
      <c r="G68" s="11"/>
    </row>
    <row r="69" ht="15.75" customHeight="1">
      <c r="A69" s="11"/>
      <c r="G69" s="11"/>
    </row>
    <row r="70" ht="15.75" customHeight="1">
      <c r="A70" s="11"/>
      <c r="G70" s="11"/>
    </row>
    <row r="71" ht="15.75" customHeight="1">
      <c r="A71" s="11"/>
      <c r="G71" s="11"/>
    </row>
    <row r="72" ht="15.75" customHeight="1">
      <c r="A72" s="11"/>
      <c r="G72" s="11"/>
    </row>
    <row r="73" ht="15.75" customHeight="1">
      <c r="A73" s="11"/>
      <c r="G73" s="11"/>
    </row>
    <row r="74" ht="15.75" customHeight="1">
      <c r="A74" s="11"/>
      <c r="G74" s="11"/>
    </row>
    <row r="75" ht="15.75" customHeight="1">
      <c r="A75" s="11"/>
      <c r="G75" s="11"/>
    </row>
    <row r="76" ht="15.75" customHeight="1">
      <c r="A76" s="11"/>
      <c r="G76" s="11"/>
    </row>
    <row r="77" ht="15.75" customHeight="1">
      <c r="A77" s="11"/>
      <c r="G77" s="11"/>
    </row>
    <row r="78" ht="15.75" customHeight="1">
      <c r="A78" s="11"/>
      <c r="G78" s="11"/>
    </row>
    <row r="79" ht="15.75" customHeight="1">
      <c r="A79" s="11"/>
      <c r="G79" s="11"/>
    </row>
    <row r="80" ht="15.75" customHeight="1">
      <c r="A80" s="11"/>
      <c r="G80" s="11"/>
    </row>
    <row r="81" ht="15.75" customHeight="1">
      <c r="A81" s="11"/>
      <c r="G81" s="11"/>
    </row>
    <row r="82" ht="15.75" customHeight="1">
      <c r="A82" s="11"/>
      <c r="G82" s="11"/>
    </row>
    <row r="83" ht="15.75" customHeight="1">
      <c r="A83" s="11"/>
      <c r="G83" s="11"/>
    </row>
    <row r="84" ht="15.75" customHeight="1">
      <c r="A84" s="11"/>
      <c r="G84" s="11"/>
    </row>
    <row r="85" ht="15.75" customHeight="1">
      <c r="A85" s="11"/>
      <c r="G85" s="11"/>
    </row>
    <row r="86" ht="15.75" customHeight="1">
      <c r="A86" s="11"/>
      <c r="G86" s="11"/>
    </row>
    <row r="87" ht="15.75" customHeight="1">
      <c r="A87" s="11"/>
      <c r="G87" s="11"/>
    </row>
    <row r="88" ht="15.75" customHeight="1">
      <c r="A88" s="11"/>
      <c r="G88" s="11"/>
    </row>
    <row r="89" ht="15.75" customHeight="1">
      <c r="A89" s="11"/>
      <c r="G89" s="11"/>
    </row>
    <row r="90" ht="15.75" customHeight="1">
      <c r="A90" s="11"/>
      <c r="G90" s="11"/>
    </row>
    <row r="91" ht="15.75" customHeight="1">
      <c r="A91" s="11"/>
      <c r="G91" s="11"/>
    </row>
    <row r="92" ht="15.75" customHeight="1">
      <c r="A92" s="11"/>
      <c r="G92" s="11"/>
    </row>
    <row r="93" ht="15.75" customHeight="1">
      <c r="A93" s="11"/>
      <c r="G93" s="11"/>
    </row>
    <row r="94" ht="15.75" customHeight="1">
      <c r="A94" s="11"/>
      <c r="G94" s="11"/>
    </row>
    <row r="95" ht="15.75" customHeight="1">
      <c r="A95" s="11"/>
      <c r="G95" s="11"/>
    </row>
    <row r="96" ht="15.75" customHeight="1">
      <c r="A96" s="11"/>
      <c r="G96" s="11"/>
    </row>
    <row r="97" ht="15.75" customHeight="1">
      <c r="A97" s="11"/>
      <c r="G97" s="11"/>
    </row>
    <row r="98" ht="15.75" customHeight="1">
      <c r="A98" s="11"/>
      <c r="G98" s="11"/>
    </row>
    <row r="99" ht="15.75" customHeight="1">
      <c r="A99" s="11"/>
      <c r="G99" s="11"/>
    </row>
    <row r="100" ht="15.75" customHeight="1">
      <c r="A100" s="11"/>
      <c r="G100" s="11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4.0"/>
    <col customWidth="1" min="2" max="3" width="17.0"/>
    <col customWidth="1" min="4" max="4" width="4.0"/>
    <col customWidth="1" min="5" max="6" width="17.0"/>
    <col customWidth="1" min="7" max="7" width="4.0"/>
    <col customWidth="1" min="8" max="9" width="17.0"/>
    <col customWidth="1" min="10" max="10" width="4.0"/>
    <col customWidth="1" min="11" max="12" width="17.0"/>
  </cols>
  <sheetData>
    <row r="1" ht="19.5" customHeigh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ht="27.75" customHeight="1">
      <c r="A2" s="15"/>
      <c r="B2" s="16" t="s">
        <v>56</v>
      </c>
    </row>
    <row r="3" ht="24.0" customHeight="1">
      <c r="A3" s="15"/>
      <c r="B3" s="17" t="s">
        <v>57</v>
      </c>
    </row>
    <row r="4" ht="19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ht="21.75" customHeight="1">
      <c r="A5" s="15"/>
      <c r="B5" s="18" t="s">
        <v>45</v>
      </c>
      <c r="C5" s="19"/>
      <c r="D5" s="20"/>
      <c r="E5" s="18" t="s">
        <v>58</v>
      </c>
      <c r="F5" s="19"/>
      <c r="G5" s="20"/>
      <c r="H5" s="18" t="s">
        <v>59</v>
      </c>
      <c r="I5" s="19"/>
      <c r="J5" s="20"/>
      <c r="K5" s="18" t="s">
        <v>47</v>
      </c>
      <c r="L5" s="20"/>
    </row>
    <row r="6" ht="30.0" customHeight="1">
      <c r="A6" s="15"/>
      <c r="B6" s="21" t="str">
        <f>'Analysis '!B3</f>
        <v>₦9,783,000</v>
      </c>
      <c r="C6" s="22"/>
      <c r="D6" s="23"/>
      <c r="E6" s="24" t="str">
        <f>'Analysis '!B4</f>
        <v>102</v>
      </c>
      <c r="F6" s="22"/>
      <c r="G6" s="23"/>
      <c r="H6" s="24" t="str">
        <f>'Analysis '!B6</f>
        <v>20</v>
      </c>
      <c r="I6" s="22"/>
      <c r="J6" s="23"/>
      <c r="K6" s="21" t="str">
        <f>'Analysis '!B5</f>
        <v>₦489,150</v>
      </c>
      <c r="L6" s="23"/>
    </row>
    <row r="7" ht="24.0" customHeight="1">
      <c r="A7" s="15"/>
      <c r="B7" s="25"/>
      <c r="C7" s="26"/>
      <c r="D7" s="27"/>
      <c r="E7" s="25"/>
      <c r="F7" s="26"/>
      <c r="G7" s="27"/>
      <c r="H7" s="25"/>
      <c r="I7" s="26"/>
      <c r="J7" s="27"/>
      <c r="K7" s="25"/>
      <c r="L7" s="27"/>
    </row>
    <row r="8" ht="19.5" customHeight="1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ht="19.5" customHeight="1">
      <c r="A9" s="15"/>
      <c r="B9" s="28" t="s">
        <v>60</v>
      </c>
      <c r="C9" s="29"/>
      <c r="D9" s="29"/>
      <c r="E9" s="29"/>
      <c r="F9" s="29"/>
      <c r="G9" s="29"/>
      <c r="H9" s="28" t="s">
        <v>61</v>
      </c>
      <c r="I9" s="29"/>
      <c r="J9" s="29"/>
      <c r="K9" s="29"/>
      <c r="L9" s="29"/>
    </row>
    <row r="10" ht="19.5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1" ht="19.5" customHeight="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</row>
    <row r="12" ht="19.5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ht="19.5" customHeight="1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ht="19.5" customHeight="1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5" ht="19.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</row>
    <row r="16" ht="19.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</row>
    <row r="17" ht="19.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</row>
    <row r="18" ht="19.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ht="19.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</row>
    <row r="20" ht="19.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</row>
    <row r="21" ht="19.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</row>
    <row r="22" ht="19.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</row>
    <row r="23" ht="19.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</row>
    <row r="24" ht="19.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</row>
    <row r="25" ht="19.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</row>
    <row r="26" ht="19.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27" ht="19.5" customHeight="1">
      <c r="A27" s="15"/>
      <c r="B27" s="28" t="s">
        <v>62</v>
      </c>
      <c r="C27" s="29"/>
      <c r="D27" s="29"/>
      <c r="E27" s="29"/>
      <c r="F27" s="29"/>
      <c r="G27" s="29"/>
      <c r="H27" s="28" t="s">
        <v>63</v>
      </c>
      <c r="I27" s="29"/>
      <c r="J27" s="29"/>
      <c r="K27" s="29"/>
      <c r="L27" s="29"/>
    </row>
    <row r="28" ht="19.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</row>
    <row r="29" ht="19.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</row>
    <row r="30" ht="19.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</row>
    <row r="31" ht="19.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 ht="19.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 ht="19.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</row>
    <row r="34" ht="19.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</row>
    <row r="35" ht="19.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</row>
    <row r="36" ht="19.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</row>
    <row r="37" ht="19.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</row>
    <row r="38" ht="19.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</row>
    <row r="39" ht="19.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</row>
    <row r="40" ht="19.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41" ht="19.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</row>
    <row r="42" ht="19.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</row>
    <row r="43" ht="19.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</row>
    <row r="44" ht="19.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</row>
    <row r="45" ht="19.5" customHeight="1">
      <c r="A45" s="15"/>
      <c r="B45" s="28" t="s">
        <v>64</v>
      </c>
      <c r="C45" s="29"/>
      <c r="D45" s="29"/>
      <c r="E45" s="29"/>
      <c r="F45" s="29"/>
      <c r="G45" s="29"/>
      <c r="H45" s="29"/>
      <c r="I45" s="29"/>
      <c r="J45" s="29"/>
      <c r="K45" s="29"/>
      <c r="L45" s="29"/>
    </row>
    <row r="46" ht="19.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</row>
    <row r="47" ht="19.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</row>
    <row r="48" ht="19.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</row>
    <row r="49" ht="19.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</row>
    <row r="50" ht="19.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</row>
    <row r="51" ht="19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</row>
    <row r="52" ht="19.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</row>
    <row r="53" ht="19.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</row>
    <row r="54" ht="19.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</row>
    <row r="55" ht="19.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</row>
    <row r="56" ht="19.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</row>
    <row r="57" ht="19.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</row>
    <row r="58" ht="19.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</row>
    <row r="59" ht="19.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</row>
    <row r="60" ht="19.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</row>
    <row r="61" ht="19.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</row>
    <row r="62" ht="19.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 ht="19.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  <row r="64" ht="19.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</row>
    <row r="65" ht="19.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</row>
    <row r="66" ht="19.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</row>
    <row r="67" ht="19.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</row>
    <row r="68" ht="19.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</row>
    <row r="69" ht="19.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</row>
  </sheetData>
  <mergeCells count="15">
    <mergeCell ref="H6:J7"/>
    <mergeCell ref="E6:G7"/>
    <mergeCell ref="B27:G27"/>
    <mergeCell ref="H27:L27"/>
    <mergeCell ref="B5:D5"/>
    <mergeCell ref="B6:D7"/>
    <mergeCell ref="H9:L9"/>
    <mergeCell ref="B9:G9"/>
    <mergeCell ref="K6:L7"/>
    <mergeCell ref="H5:J5"/>
    <mergeCell ref="B3:L3"/>
    <mergeCell ref="B2:L2"/>
    <mergeCell ref="K5:L5"/>
    <mergeCell ref="B45:L45"/>
    <mergeCell ref="E5:G5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3.5"/>
  </cols>
  <sheetData>
    <row r="1">
      <c r="A1" s="30" t="s">
        <v>65</v>
      </c>
    </row>
    <row r="2">
      <c r="A2" s="31"/>
    </row>
    <row r="3">
      <c r="A3" s="32" t="s">
        <v>66</v>
      </c>
    </row>
    <row r="4">
      <c r="A4" s="32" t="s">
        <v>67</v>
      </c>
    </row>
    <row r="5">
      <c r="A5" s="32" t="s">
        <v>68</v>
      </c>
    </row>
    <row r="6">
      <c r="A6" s="32" t="s">
        <v>69</v>
      </c>
    </row>
    <row r="7">
      <c r="A7" s="32" t="s">
        <v>70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2026-08-17T23:24:47Z</dcterms:created>
  <dc:creator>openpyxl</dc:creator>
  <dcterms:modified xsi:type="dcterms:W3CDTF">2026-08-17T23:24:48Z</dcterms:modified>
</cp:coreProperties>
</file>